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  <c r="E1" s="1" t="inlineStr">
        <is>
          <t>Source/Provenance</t>
        </is>
      </c>
    </row>
    <row r="2">
      <c r="A2" t="inlineStr">
        <is>
          <t>Model Start Date</t>
        </is>
      </c>
      <c r="B2" t="inlineStr">
        <is>
          <t>2026-02-17</t>
        </is>
      </c>
      <c r="C2" t="inlineStr"/>
      <c r="D2" t="inlineStr">
        <is>
          <t>Edit as needed</t>
        </is>
      </c>
      <c r="E2" t="inlineStr">
        <is>
          <t>manual</t>
        </is>
      </c>
    </row>
    <row r="3">
      <c r="A3" t="inlineStr">
        <is>
          <t>Starting Cash</t>
        </is>
      </c>
      <c r="B3" s="2" t="n">
        <v>0</v>
      </c>
      <c r="C3" t="inlineStr">
        <is>
          <t>USD</t>
        </is>
      </c>
      <c r="D3" t="inlineStr">
        <is>
          <t>Cash at start</t>
        </is>
      </c>
      <c r="E3" t="inlineStr">
        <is>
          <t>bank statement</t>
        </is>
      </c>
    </row>
    <row r="4">
      <c r="A4" t="inlineStr">
        <is>
          <t>Monthly OpEx</t>
        </is>
      </c>
      <c r="B4" s="2" t="n">
        <v>0</v>
      </c>
      <c r="C4" t="inlineStr">
        <is>
          <t>USD</t>
        </is>
      </c>
      <c r="D4" t="inlineStr">
        <is>
          <t>Ops burn excluding COGS</t>
        </is>
      </c>
      <c r="E4" t="inlineStr">
        <is>
          <t>accounting</t>
        </is>
      </c>
    </row>
    <row r="5">
      <c r="A5" t="inlineStr">
        <is>
          <t>ARPU</t>
        </is>
      </c>
      <c r="B5" s="2" t="n">
        <v>0</v>
      </c>
      <c r="C5" t="inlineStr">
        <is>
          <t>USD/user/mo</t>
        </is>
      </c>
      <c r="D5" t="inlineStr">
        <is>
          <t>Avg revenue per active user</t>
        </is>
      </c>
      <c r="E5" t="inlineStr">
        <is>
          <t>billing</t>
        </is>
      </c>
    </row>
    <row r="6">
      <c r="A6" t="inlineStr">
        <is>
          <t>New Users / mo</t>
        </is>
      </c>
      <c r="B6" s="2" t="n">
        <v>0</v>
      </c>
      <c r="C6" t="inlineStr">
        <is>
          <t>users</t>
        </is>
      </c>
      <c r="D6" t="inlineStr">
        <is>
          <t>Net new actives per month</t>
        </is>
      </c>
      <c r="E6" t="inlineStr">
        <is>
          <t>analytics</t>
        </is>
      </c>
    </row>
    <row r="7">
      <c r="A7" t="inlineStr">
        <is>
          <t>Churn</t>
        </is>
      </c>
      <c r="B7" s="2" t="n">
        <v>0</v>
      </c>
      <c r="C7" t="inlineStr">
        <is>
          <t>%/mo</t>
        </is>
      </c>
      <c r="D7" t="inlineStr">
        <is>
          <t>User churn</t>
        </is>
      </c>
      <c r="E7" t="inlineStr">
        <is>
          <t>cohorts</t>
        </is>
      </c>
    </row>
    <row r="8">
      <c r="A8" t="inlineStr">
        <is>
          <t>COGS %</t>
        </is>
      </c>
      <c r="B8" s="2" t="n">
        <v>0</v>
      </c>
      <c r="C8" t="inlineStr">
        <is>
          <t>%</t>
        </is>
      </c>
      <c r="D8" t="inlineStr">
        <is>
          <t>Infra/support as % revenue</t>
        </is>
      </c>
      <c r="E8" t="inlineStr">
        <is>
          <t>cloud bills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Month</t>
        </is>
      </c>
      <c r="B1" s="3" t="inlineStr">
        <is>
          <t>Users</t>
        </is>
      </c>
      <c r="C1" s="3" t="inlineStr">
        <is>
          <t>Revenue</t>
        </is>
      </c>
      <c r="D1" s="3" t="inlineStr">
        <is>
          <t>COGS</t>
        </is>
      </c>
      <c r="E1" s="3" t="inlineStr">
        <is>
          <t>Gross Profit</t>
        </is>
      </c>
      <c r="F1" s="3" t="inlineStr">
        <is>
          <t>OpEx</t>
        </is>
      </c>
      <c r="G1" s="3" t="inlineStr">
        <is>
          <t>Net Burn</t>
        </is>
      </c>
    </row>
    <row r="2">
      <c r="A2" t="n">
        <v>1</v>
      </c>
      <c r="B2">
        <f>$Assumptions.$B$6</f>
        <v/>
      </c>
      <c r="C2" s="4">
        <f>B2*$Assumptions.$B$5</f>
        <v/>
      </c>
      <c r="D2" s="4">
        <f>C2*$Assumptions.$B$8</f>
        <v/>
      </c>
      <c r="E2" s="4">
        <f>C2-D2</f>
        <v/>
      </c>
      <c r="F2" s="4">
        <f>$Assumptions.$B$3</f>
        <v/>
      </c>
      <c r="G2" s="4">
        <f>F2-E2</f>
        <v/>
      </c>
    </row>
    <row r="3">
      <c r="A3" t="n">
        <v>2</v>
      </c>
      <c r="B3">
        <f>B2*(1-$Assumptions.$B$7)+$Assumptions.$B$6</f>
        <v/>
      </c>
      <c r="C3" s="4">
        <f>B3*$Assumptions.$B$5</f>
        <v/>
      </c>
      <c r="D3" s="4">
        <f>C3*$Assumptions.$B$8</f>
        <v/>
      </c>
      <c r="E3" s="4">
        <f>C3-D3</f>
        <v/>
      </c>
      <c r="F3" s="4">
        <f>$Assumptions.$B$3</f>
        <v/>
      </c>
      <c r="G3" s="4">
        <f>F3-E3</f>
        <v/>
      </c>
    </row>
    <row r="4">
      <c r="A4" t="n">
        <v>3</v>
      </c>
      <c r="B4">
        <f>B3*(1-$Assumptions.$B$7)+$Assumptions.$B$6</f>
        <v/>
      </c>
      <c r="C4" s="4">
        <f>B4*$Assumptions.$B$5</f>
        <v/>
      </c>
      <c r="D4" s="4">
        <f>C4*$Assumptions.$B$8</f>
        <v/>
      </c>
      <c r="E4" s="4">
        <f>C4-D4</f>
        <v/>
      </c>
      <c r="F4" s="4">
        <f>$Assumptions.$B$3</f>
        <v/>
      </c>
      <c r="G4" s="4">
        <f>F4-E4</f>
        <v/>
      </c>
    </row>
    <row r="5">
      <c r="A5" t="n">
        <v>4</v>
      </c>
      <c r="B5">
        <f>B4*(1-$Assumptions.$B$7)+$Assumptions.$B$6</f>
        <v/>
      </c>
      <c r="C5" s="4">
        <f>B5*$Assumptions.$B$5</f>
        <v/>
      </c>
      <c r="D5" s="4">
        <f>C5*$Assumptions.$B$8</f>
        <v/>
      </c>
      <c r="E5" s="4">
        <f>C5-D5</f>
        <v/>
      </c>
      <c r="F5" s="4">
        <f>$Assumptions.$B$3</f>
        <v/>
      </c>
      <c r="G5" s="4">
        <f>F5-E5</f>
        <v/>
      </c>
    </row>
    <row r="6">
      <c r="A6" t="n">
        <v>5</v>
      </c>
      <c r="B6">
        <f>B5*(1-$Assumptions.$B$7)+$Assumptions.$B$6</f>
        <v/>
      </c>
      <c r="C6" s="4">
        <f>B6*$Assumptions.$B$5</f>
        <v/>
      </c>
      <c r="D6" s="4">
        <f>C6*$Assumptions.$B$8</f>
        <v/>
      </c>
      <c r="E6" s="4">
        <f>C6-D6</f>
        <v/>
      </c>
      <c r="F6" s="4">
        <f>$Assumptions.$B$3</f>
        <v/>
      </c>
      <c r="G6" s="4">
        <f>F6-E6</f>
        <v/>
      </c>
    </row>
    <row r="7">
      <c r="A7" t="n">
        <v>6</v>
      </c>
      <c r="B7">
        <f>B6*(1-$Assumptions.$B$7)+$Assumptions.$B$6</f>
        <v/>
      </c>
      <c r="C7" s="4">
        <f>B7*$Assumptions.$B$5</f>
        <v/>
      </c>
      <c r="D7" s="4">
        <f>C7*$Assumptions.$B$8</f>
        <v/>
      </c>
      <c r="E7" s="4">
        <f>C7-D7</f>
        <v/>
      </c>
      <c r="F7" s="4">
        <f>$Assumptions.$B$3</f>
        <v/>
      </c>
      <c r="G7" s="4">
        <f>F7-E7</f>
        <v/>
      </c>
    </row>
    <row r="8">
      <c r="A8" t="n">
        <v>7</v>
      </c>
      <c r="B8">
        <f>B7*(1-$Assumptions.$B$7)+$Assumptions.$B$6</f>
        <v/>
      </c>
      <c r="C8" s="4">
        <f>B8*$Assumptions.$B$5</f>
        <v/>
      </c>
      <c r="D8" s="4">
        <f>C8*$Assumptions.$B$8</f>
        <v/>
      </c>
      <c r="E8" s="4">
        <f>C8-D8</f>
        <v/>
      </c>
      <c r="F8" s="4">
        <f>$Assumptions.$B$3</f>
        <v/>
      </c>
      <c r="G8" s="4">
        <f>F8-E8</f>
        <v/>
      </c>
    </row>
    <row r="9">
      <c r="A9" t="n">
        <v>8</v>
      </c>
      <c r="B9">
        <f>B8*(1-$Assumptions.$B$7)+$Assumptions.$B$6</f>
        <v/>
      </c>
      <c r="C9" s="4">
        <f>B9*$Assumptions.$B$5</f>
        <v/>
      </c>
      <c r="D9" s="4">
        <f>C9*$Assumptions.$B$8</f>
        <v/>
      </c>
      <c r="E9" s="4">
        <f>C9-D9</f>
        <v/>
      </c>
      <c r="F9" s="4">
        <f>$Assumptions.$B$3</f>
        <v/>
      </c>
      <c r="G9" s="4">
        <f>F9-E9</f>
        <v/>
      </c>
    </row>
    <row r="10">
      <c r="A10" t="n">
        <v>9</v>
      </c>
      <c r="B10">
        <f>B9*(1-$Assumptions.$B$7)+$Assumptions.$B$6</f>
        <v/>
      </c>
      <c r="C10" s="4">
        <f>B10*$Assumptions.$B$5</f>
        <v/>
      </c>
      <c r="D10" s="4">
        <f>C10*$Assumptions.$B$8</f>
        <v/>
      </c>
      <c r="E10" s="4">
        <f>C10-D10</f>
        <v/>
      </c>
      <c r="F10" s="4">
        <f>$Assumptions.$B$3</f>
        <v/>
      </c>
      <c r="G10" s="4">
        <f>F10-E10</f>
        <v/>
      </c>
    </row>
    <row r="11">
      <c r="A11" t="n">
        <v>10</v>
      </c>
      <c r="B11">
        <f>B10*(1-$Assumptions.$B$7)+$Assumptions.$B$6</f>
        <v/>
      </c>
      <c r="C11" s="4">
        <f>B11*$Assumptions.$B$5</f>
        <v/>
      </c>
      <c r="D11" s="4">
        <f>C11*$Assumptions.$B$8</f>
        <v/>
      </c>
      <c r="E11" s="4">
        <f>C11-D11</f>
        <v/>
      </c>
      <c r="F11" s="4">
        <f>$Assumptions.$B$3</f>
        <v/>
      </c>
      <c r="G11" s="4">
        <f>F11-E11</f>
        <v/>
      </c>
    </row>
    <row r="12">
      <c r="A12" t="n">
        <v>11</v>
      </c>
      <c r="B12">
        <f>B11*(1-$Assumptions.$B$7)+$Assumptions.$B$6</f>
        <v/>
      </c>
      <c r="C12" s="4">
        <f>B12*$Assumptions.$B$5</f>
        <v/>
      </c>
      <c r="D12" s="4">
        <f>C12*$Assumptions.$B$8</f>
        <v/>
      </c>
      <c r="E12" s="4">
        <f>C12-D12</f>
        <v/>
      </c>
      <c r="F12" s="4">
        <f>$Assumptions.$B$3</f>
        <v/>
      </c>
      <c r="G12" s="4">
        <f>F12-E12</f>
        <v/>
      </c>
    </row>
    <row r="13">
      <c r="A13" t="n">
        <v>12</v>
      </c>
      <c r="B13">
        <f>B12*(1-$Assumptions.$B$7)+$Assumptions.$B$6</f>
        <v/>
      </c>
      <c r="C13" s="4">
        <f>B13*$Assumptions.$B$5</f>
        <v/>
      </c>
      <c r="D13" s="4">
        <f>C13*$Assumptions.$B$8</f>
        <v/>
      </c>
      <c r="E13" s="4">
        <f>C13-D13</f>
        <v/>
      </c>
      <c r="F13" s="4">
        <f>$Assumptions.$B$3</f>
        <v/>
      </c>
      <c r="G13" s="4">
        <f>F13-E13</f>
        <v/>
      </c>
    </row>
    <row r="14">
      <c r="A14" t="n">
        <v>13</v>
      </c>
      <c r="B14">
        <f>B13*(1-$Assumptions.$B$7)+$Assumptions.$B$6</f>
        <v/>
      </c>
      <c r="C14" s="4">
        <f>B14*$Assumptions.$B$5</f>
        <v/>
      </c>
      <c r="D14" s="4">
        <f>C14*$Assumptions.$B$8</f>
        <v/>
      </c>
      <c r="E14" s="4">
        <f>C14-D14</f>
        <v/>
      </c>
      <c r="F14" s="4">
        <f>$Assumptions.$B$3</f>
        <v/>
      </c>
      <c r="G14" s="4">
        <f>F14-E14</f>
        <v/>
      </c>
    </row>
    <row r="15">
      <c r="A15" t="n">
        <v>14</v>
      </c>
      <c r="B15">
        <f>B14*(1-$Assumptions.$B$7)+$Assumptions.$B$6</f>
        <v/>
      </c>
      <c r="C15" s="4">
        <f>B15*$Assumptions.$B$5</f>
        <v/>
      </c>
      <c r="D15" s="4">
        <f>C15*$Assumptions.$B$8</f>
        <v/>
      </c>
      <c r="E15" s="4">
        <f>C15-D15</f>
        <v/>
      </c>
      <c r="F15" s="4">
        <f>$Assumptions.$B$3</f>
        <v/>
      </c>
      <c r="G15" s="4">
        <f>F15-E15</f>
        <v/>
      </c>
    </row>
    <row r="16">
      <c r="A16" t="n">
        <v>15</v>
      </c>
      <c r="B16">
        <f>B15*(1-$Assumptions.$B$7)+$Assumptions.$B$6</f>
        <v/>
      </c>
      <c r="C16" s="4">
        <f>B16*$Assumptions.$B$5</f>
        <v/>
      </c>
      <c r="D16" s="4">
        <f>C16*$Assumptions.$B$8</f>
        <v/>
      </c>
      <c r="E16" s="4">
        <f>C16-D16</f>
        <v/>
      </c>
      <c r="F16" s="4">
        <f>$Assumptions.$B$3</f>
        <v/>
      </c>
      <c r="G16" s="4">
        <f>F16-E16</f>
        <v/>
      </c>
    </row>
    <row r="17">
      <c r="A17" t="n">
        <v>16</v>
      </c>
      <c r="B17">
        <f>B16*(1-$Assumptions.$B$7)+$Assumptions.$B$6</f>
        <v/>
      </c>
      <c r="C17" s="4">
        <f>B17*$Assumptions.$B$5</f>
        <v/>
      </c>
      <c r="D17" s="4">
        <f>C17*$Assumptions.$B$8</f>
        <v/>
      </c>
      <c r="E17" s="4">
        <f>C17-D17</f>
        <v/>
      </c>
      <c r="F17" s="4">
        <f>$Assumptions.$B$3</f>
        <v/>
      </c>
      <c r="G17" s="4">
        <f>F17-E17</f>
        <v/>
      </c>
    </row>
    <row r="18">
      <c r="A18" t="n">
        <v>17</v>
      </c>
      <c r="B18">
        <f>B17*(1-$Assumptions.$B$7)+$Assumptions.$B$6</f>
        <v/>
      </c>
      <c r="C18" s="4">
        <f>B18*$Assumptions.$B$5</f>
        <v/>
      </c>
      <c r="D18" s="4">
        <f>C18*$Assumptions.$B$8</f>
        <v/>
      </c>
      <c r="E18" s="4">
        <f>C18-D18</f>
        <v/>
      </c>
      <c r="F18" s="4">
        <f>$Assumptions.$B$3</f>
        <v/>
      </c>
      <c r="G18" s="4">
        <f>F18-E18</f>
        <v/>
      </c>
    </row>
    <row r="19">
      <c r="A19" t="n">
        <v>18</v>
      </c>
      <c r="B19">
        <f>B18*(1-$Assumptions.$B$7)+$Assumptions.$B$6</f>
        <v/>
      </c>
      <c r="C19" s="4">
        <f>B19*$Assumptions.$B$5</f>
        <v/>
      </c>
      <c r="D19" s="4">
        <f>C19*$Assumptions.$B$8</f>
        <v/>
      </c>
      <c r="E19" s="4">
        <f>C19-D19</f>
        <v/>
      </c>
      <c r="F19" s="4">
        <f>$Assumptions.$B$3</f>
        <v/>
      </c>
      <c r="G19" s="4">
        <f>F19-E19</f>
        <v/>
      </c>
    </row>
    <row r="20">
      <c r="A20" t="n">
        <v>19</v>
      </c>
      <c r="B20">
        <f>B19*(1-$Assumptions.$B$7)+$Assumptions.$B$6</f>
        <v/>
      </c>
      <c r="C20" s="4">
        <f>B20*$Assumptions.$B$5</f>
        <v/>
      </c>
      <c r="D20" s="4">
        <f>C20*$Assumptions.$B$8</f>
        <v/>
      </c>
      <c r="E20" s="4">
        <f>C20-D20</f>
        <v/>
      </c>
      <c r="F20" s="4">
        <f>$Assumptions.$B$3</f>
        <v/>
      </c>
      <c r="G20" s="4">
        <f>F20-E20</f>
        <v/>
      </c>
    </row>
    <row r="21">
      <c r="A21" t="n">
        <v>20</v>
      </c>
      <c r="B21">
        <f>B20*(1-$Assumptions.$B$7)+$Assumptions.$B$6</f>
        <v/>
      </c>
      <c r="C21" s="4">
        <f>B21*$Assumptions.$B$5</f>
        <v/>
      </c>
      <c r="D21" s="4">
        <f>C21*$Assumptions.$B$8</f>
        <v/>
      </c>
      <c r="E21" s="4">
        <f>C21-D21</f>
        <v/>
      </c>
      <c r="F21" s="4">
        <f>$Assumptions.$B$3</f>
        <v/>
      </c>
      <c r="G21" s="4">
        <f>F21-E21</f>
        <v/>
      </c>
    </row>
    <row r="22">
      <c r="A22" t="n">
        <v>21</v>
      </c>
      <c r="B22">
        <f>B21*(1-$Assumptions.$B$7)+$Assumptions.$B$6</f>
        <v/>
      </c>
      <c r="C22" s="4">
        <f>B22*$Assumptions.$B$5</f>
        <v/>
      </c>
      <c r="D22" s="4">
        <f>C22*$Assumptions.$B$8</f>
        <v/>
      </c>
      <c r="E22" s="4">
        <f>C22-D22</f>
        <v/>
      </c>
      <c r="F22" s="4">
        <f>$Assumptions.$B$3</f>
        <v/>
      </c>
      <c r="G22" s="4">
        <f>F22-E22</f>
        <v/>
      </c>
    </row>
    <row r="23">
      <c r="A23" t="n">
        <v>22</v>
      </c>
      <c r="B23">
        <f>B22*(1-$Assumptions.$B$7)+$Assumptions.$B$6</f>
        <v/>
      </c>
      <c r="C23" s="4">
        <f>B23*$Assumptions.$B$5</f>
        <v/>
      </c>
      <c r="D23" s="4">
        <f>C23*$Assumptions.$B$8</f>
        <v/>
      </c>
      <c r="E23" s="4">
        <f>C23-D23</f>
        <v/>
      </c>
      <c r="F23" s="4">
        <f>$Assumptions.$B$3</f>
        <v/>
      </c>
      <c r="G23" s="4">
        <f>F23-E23</f>
        <v/>
      </c>
    </row>
    <row r="24">
      <c r="A24" t="n">
        <v>23</v>
      </c>
      <c r="B24">
        <f>B23*(1-$Assumptions.$B$7)+$Assumptions.$B$6</f>
        <v/>
      </c>
      <c r="C24" s="4">
        <f>B24*$Assumptions.$B$5</f>
        <v/>
      </c>
      <c r="D24" s="4">
        <f>C24*$Assumptions.$B$8</f>
        <v/>
      </c>
      <c r="E24" s="4">
        <f>C24-D24</f>
        <v/>
      </c>
      <c r="F24" s="4">
        <f>$Assumptions.$B$3</f>
        <v/>
      </c>
      <c r="G24" s="4">
        <f>F24-E24</f>
        <v/>
      </c>
    </row>
    <row r="25">
      <c r="A25" t="n">
        <v>24</v>
      </c>
      <c r="B25">
        <f>B24*(1-$Assumptions.$B$7)+$Assumptions.$B$6</f>
        <v/>
      </c>
      <c r="C25" s="4">
        <f>B25*$Assumptions.$B$5</f>
        <v/>
      </c>
      <c r="D25" s="4">
        <f>C25*$Assumptions.$B$8</f>
        <v/>
      </c>
      <c r="E25" s="4">
        <f>C25-D25</f>
        <v/>
      </c>
      <c r="F25" s="4">
        <f>$Assumptions.$B$3</f>
        <v/>
      </c>
      <c r="G25" s="4">
        <f>F25-E25</f>
        <v/>
      </c>
    </row>
    <row r="26">
      <c r="A26" t="n">
        <v>25</v>
      </c>
      <c r="B26">
        <f>B25*(1-$Assumptions.$B$7)+$Assumptions.$B$6</f>
        <v/>
      </c>
      <c r="C26" s="4">
        <f>B26*$Assumptions.$B$5</f>
        <v/>
      </c>
      <c r="D26" s="4">
        <f>C26*$Assumptions.$B$8</f>
        <v/>
      </c>
      <c r="E26" s="4">
        <f>C26-D26</f>
        <v/>
      </c>
      <c r="F26" s="4">
        <f>$Assumptions.$B$3</f>
        <v/>
      </c>
      <c r="G26" s="4">
        <f>F26-E26</f>
        <v/>
      </c>
    </row>
    <row r="27">
      <c r="A27" t="n">
        <v>26</v>
      </c>
      <c r="B27">
        <f>B26*(1-$Assumptions.$B$7)+$Assumptions.$B$6</f>
        <v/>
      </c>
      <c r="C27" s="4">
        <f>B27*$Assumptions.$B$5</f>
        <v/>
      </c>
      <c r="D27" s="4">
        <f>C27*$Assumptions.$B$8</f>
        <v/>
      </c>
      <c r="E27" s="4">
        <f>C27-D27</f>
        <v/>
      </c>
      <c r="F27" s="4">
        <f>$Assumptions.$B$3</f>
        <v/>
      </c>
      <c r="G27" s="4">
        <f>F27-E27</f>
        <v/>
      </c>
    </row>
    <row r="28">
      <c r="A28" t="n">
        <v>27</v>
      </c>
      <c r="B28">
        <f>B27*(1-$Assumptions.$B$7)+$Assumptions.$B$6</f>
        <v/>
      </c>
      <c r="C28" s="4">
        <f>B28*$Assumptions.$B$5</f>
        <v/>
      </c>
      <c r="D28" s="4">
        <f>C28*$Assumptions.$B$8</f>
        <v/>
      </c>
      <c r="E28" s="4">
        <f>C28-D28</f>
        <v/>
      </c>
      <c r="F28" s="4">
        <f>$Assumptions.$B$3</f>
        <v/>
      </c>
      <c r="G28" s="4">
        <f>F28-E28</f>
        <v/>
      </c>
    </row>
    <row r="29">
      <c r="A29" t="n">
        <v>28</v>
      </c>
      <c r="B29">
        <f>B28*(1-$Assumptions.$B$7)+$Assumptions.$B$6</f>
        <v/>
      </c>
      <c r="C29" s="4">
        <f>B29*$Assumptions.$B$5</f>
        <v/>
      </c>
      <c r="D29" s="4">
        <f>C29*$Assumptions.$B$8</f>
        <v/>
      </c>
      <c r="E29" s="4">
        <f>C29-D29</f>
        <v/>
      </c>
      <c r="F29" s="4">
        <f>$Assumptions.$B$3</f>
        <v/>
      </c>
      <c r="G29" s="4">
        <f>F29-E29</f>
        <v/>
      </c>
    </row>
    <row r="30">
      <c r="A30" t="n">
        <v>29</v>
      </c>
      <c r="B30">
        <f>B29*(1-$Assumptions.$B$7)+$Assumptions.$B$6</f>
        <v/>
      </c>
      <c r="C30" s="4">
        <f>B30*$Assumptions.$B$5</f>
        <v/>
      </c>
      <c r="D30" s="4">
        <f>C30*$Assumptions.$B$8</f>
        <v/>
      </c>
      <c r="E30" s="4">
        <f>C30-D30</f>
        <v/>
      </c>
      <c r="F30" s="4">
        <f>$Assumptions.$B$3</f>
        <v/>
      </c>
      <c r="G30" s="4">
        <f>F30-E30</f>
        <v/>
      </c>
    </row>
    <row r="31">
      <c r="A31" t="n">
        <v>30</v>
      </c>
      <c r="B31">
        <f>B30*(1-$Assumptions.$B$7)+$Assumptions.$B$6</f>
        <v/>
      </c>
      <c r="C31" s="4">
        <f>B31*$Assumptions.$B$5</f>
        <v/>
      </c>
      <c r="D31" s="4">
        <f>C31*$Assumptions.$B$8</f>
        <v/>
      </c>
      <c r="E31" s="4">
        <f>C31-D31</f>
        <v/>
      </c>
      <c r="F31" s="4">
        <f>$Assumptions.$B$3</f>
        <v/>
      </c>
      <c r="G31" s="4">
        <f>F31-E31</f>
        <v/>
      </c>
    </row>
    <row r="32">
      <c r="A32" t="n">
        <v>31</v>
      </c>
      <c r="B32">
        <f>B31*(1-$Assumptions.$B$7)+$Assumptions.$B$6</f>
        <v/>
      </c>
      <c r="C32" s="4">
        <f>B32*$Assumptions.$B$5</f>
        <v/>
      </c>
      <c r="D32" s="4">
        <f>C32*$Assumptions.$B$8</f>
        <v/>
      </c>
      <c r="E32" s="4">
        <f>C32-D32</f>
        <v/>
      </c>
      <c r="F32" s="4">
        <f>$Assumptions.$B$3</f>
        <v/>
      </c>
      <c r="G32" s="4">
        <f>F32-E32</f>
        <v/>
      </c>
    </row>
    <row r="33">
      <c r="A33" t="n">
        <v>32</v>
      </c>
      <c r="B33">
        <f>B32*(1-$Assumptions.$B$7)+$Assumptions.$B$6</f>
        <v/>
      </c>
      <c r="C33" s="4">
        <f>B33*$Assumptions.$B$5</f>
        <v/>
      </c>
      <c r="D33" s="4">
        <f>C33*$Assumptions.$B$8</f>
        <v/>
      </c>
      <c r="E33" s="4">
        <f>C33-D33</f>
        <v/>
      </c>
      <c r="F33" s="4">
        <f>$Assumptions.$B$3</f>
        <v/>
      </c>
      <c r="G33" s="4">
        <f>F33-E33</f>
        <v/>
      </c>
    </row>
    <row r="34">
      <c r="A34" t="n">
        <v>33</v>
      </c>
      <c r="B34">
        <f>B33*(1-$Assumptions.$B$7)+$Assumptions.$B$6</f>
        <v/>
      </c>
      <c r="C34" s="4">
        <f>B34*$Assumptions.$B$5</f>
        <v/>
      </c>
      <c r="D34" s="4">
        <f>C34*$Assumptions.$B$8</f>
        <v/>
      </c>
      <c r="E34" s="4">
        <f>C34-D34</f>
        <v/>
      </c>
      <c r="F34" s="4">
        <f>$Assumptions.$B$3</f>
        <v/>
      </c>
      <c r="G34" s="4">
        <f>F34-E34</f>
        <v/>
      </c>
    </row>
    <row r="35">
      <c r="A35" t="n">
        <v>34</v>
      </c>
      <c r="B35">
        <f>B34*(1-$Assumptions.$B$7)+$Assumptions.$B$6</f>
        <v/>
      </c>
      <c r="C35" s="4">
        <f>B35*$Assumptions.$B$5</f>
        <v/>
      </c>
      <c r="D35" s="4">
        <f>C35*$Assumptions.$B$8</f>
        <v/>
      </c>
      <c r="E35" s="4">
        <f>C35-D35</f>
        <v/>
      </c>
      <c r="F35" s="4">
        <f>$Assumptions.$B$3</f>
        <v/>
      </c>
      <c r="G35" s="4">
        <f>F35-E35</f>
        <v/>
      </c>
    </row>
    <row r="36">
      <c r="A36" t="n">
        <v>35</v>
      </c>
      <c r="B36">
        <f>B35*(1-$Assumptions.$B$7)+$Assumptions.$B$6</f>
        <v/>
      </c>
      <c r="C36" s="4">
        <f>B36*$Assumptions.$B$5</f>
        <v/>
      </c>
      <c r="D36" s="4">
        <f>C36*$Assumptions.$B$8</f>
        <v/>
      </c>
      <c r="E36" s="4">
        <f>C36-D36</f>
        <v/>
      </c>
      <c r="F36" s="4">
        <f>$Assumptions.$B$3</f>
        <v/>
      </c>
      <c r="G36" s="4">
        <f>F36-E36</f>
        <v/>
      </c>
    </row>
    <row r="37">
      <c r="A37" t="n">
        <v>36</v>
      </c>
      <c r="B37">
        <f>B36*(1-$Assumptions.$B$7)+$Assumptions.$B$6</f>
        <v/>
      </c>
      <c r="C37" s="4">
        <f>B37*$Assumptions.$B$5</f>
        <v/>
      </c>
      <c r="D37" s="4">
        <f>C37*$Assumptions.$B$8</f>
        <v/>
      </c>
      <c r="E37" s="4">
        <f>C37-D37</f>
        <v/>
      </c>
      <c r="F37" s="4">
        <f>$Assumptions.$B$3</f>
        <v/>
      </c>
      <c r="G37" s="4">
        <f>F37-E37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Month</t>
        </is>
      </c>
      <c r="B1" s="3" t="inlineStr">
        <is>
          <t>Starting Cash</t>
        </is>
      </c>
      <c r="C1" s="3" t="inlineStr">
        <is>
          <t>Net Burn</t>
        </is>
      </c>
      <c r="D1" s="3" t="inlineStr">
        <is>
          <t>Ending Cash</t>
        </is>
      </c>
    </row>
    <row r="2">
      <c r="A2" t="n">
        <v>1</v>
      </c>
      <c r="B2" s="4">
        <f>$Assumptions.$B$2</f>
        <v/>
      </c>
      <c r="C2" s="4">
        <f>$'P&amp;L'.G2</f>
        <v/>
      </c>
      <c r="D2" s="4">
        <f>B2-C2</f>
        <v/>
      </c>
    </row>
    <row r="3">
      <c r="A3" t="n">
        <v>2</v>
      </c>
      <c r="B3" s="4">
        <f>D2</f>
        <v/>
      </c>
      <c r="C3" s="4">
        <f>$'P&amp;L'.G3</f>
        <v/>
      </c>
      <c r="D3" s="4">
        <f>B3-C3</f>
        <v/>
      </c>
    </row>
    <row r="4">
      <c r="A4" t="n">
        <v>3</v>
      </c>
      <c r="B4" s="4">
        <f>D3</f>
        <v/>
      </c>
      <c r="C4" s="4">
        <f>$'P&amp;L'.G4</f>
        <v/>
      </c>
      <c r="D4" s="4">
        <f>B4-C4</f>
        <v/>
      </c>
    </row>
    <row r="5">
      <c r="A5" t="n">
        <v>4</v>
      </c>
      <c r="B5" s="4">
        <f>D4</f>
        <v/>
      </c>
      <c r="C5" s="4">
        <f>$'P&amp;L'.G5</f>
        <v/>
      </c>
      <c r="D5" s="4">
        <f>B5-C5</f>
        <v/>
      </c>
    </row>
    <row r="6">
      <c r="A6" t="n">
        <v>5</v>
      </c>
      <c r="B6" s="4">
        <f>D5</f>
        <v/>
      </c>
      <c r="C6" s="4">
        <f>$'P&amp;L'.G6</f>
        <v/>
      </c>
      <c r="D6" s="4">
        <f>B6-C6</f>
        <v/>
      </c>
    </row>
    <row r="7">
      <c r="A7" t="n">
        <v>6</v>
      </c>
      <c r="B7" s="4">
        <f>D6</f>
        <v/>
      </c>
      <c r="C7" s="4">
        <f>$'P&amp;L'.G7</f>
        <v/>
      </c>
      <c r="D7" s="4">
        <f>B7-C7</f>
        <v/>
      </c>
    </row>
    <row r="8">
      <c r="A8" t="n">
        <v>7</v>
      </c>
      <c r="B8" s="4">
        <f>D7</f>
        <v/>
      </c>
      <c r="C8" s="4">
        <f>$'P&amp;L'.G8</f>
        <v/>
      </c>
      <c r="D8" s="4">
        <f>B8-C8</f>
        <v/>
      </c>
    </row>
    <row r="9">
      <c r="A9" t="n">
        <v>8</v>
      </c>
      <c r="B9" s="4">
        <f>D8</f>
        <v/>
      </c>
      <c r="C9" s="4">
        <f>$'P&amp;L'.G9</f>
        <v/>
      </c>
      <c r="D9" s="4">
        <f>B9-C9</f>
        <v/>
      </c>
    </row>
    <row r="10">
      <c r="A10" t="n">
        <v>9</v>
      </c>
      <c r="B10" s="4">
        <f>D9</f>
        <v/>
      </c>
      <c r="C10" s="4">
        <f>$'P&amp;L'.G10</f>
        <v/>
      </c>
      <c r="D10" s="4">
        <f>B10-C10</f>
        <v/>
      </c>
    </row>
    <row r="11">
      <c r="A11" t="n">
        <v>10</v>
      </c>
      <c r="B11" s="4">
        <f>D10</f>
        <v/>
      </c>
      <c r="C11" s="4">
        <f>$'P&amp;L'.G11</f>
        <v/>
      </c>
      <c r="D11" s="4">
        <f>B11-C11</f>
        <v/>
      </c>
    </row>
    <row r="12">
      <c r="A12" t="n">
        <v>11</v>
      </c>
      <c r="B12" s="4">
        <f>D11</f>
        <v/>
      </c>
      <c r="C12" s="4">
        <f>$'P&amp;L'.G12</f>
        <v/>
      </c>
      <c r="D12" s="4">
        <f>B12-C12</f>
        <v/>
      </c>
    </row>
    <row r="13">
      <c r="A13" t="n">
        <v>12</v>
      </c>
      <c r="B13" s="4">
        <f>D12</f>
        <v/>
      </c>
      <c r="C13" s="4">
        <f>$'P&amp;L'.G13</f>
        <v/>
      </c>
      <c r="D13" s="4">
        <f>B13-C13</f>
        <v/>
      </c>
    </row>
    <row r="14">
      <c r="A14" t="n">
        <v>13</v>
      </c>
      <c r="B14" s="4">
        <f>D13</f>
        <v/>
      </c>
      <c r="C14" s="4">
        <f>$'P&amp;L'.G14</f>
        <v/>
      </c>
      <c r="D14" s="4">
        <f>B14-C14</f>
        <v/>
      </c>
    </row>
    <row r="15">
      <c r="A15" t="n">
        <v>14</v>
      </c>
      <c r="B15" s="4">
        <f>D14</f>
        <v/>
      </c>
      <c r="C15" s="4">
        <f>$'P&amp;L'.G15</f>
        <v/>
      </c>
      <c r="D15" s="4">
        <f>B15-C15</f>
        <v/>
      </c>
    </row>
    <row r="16">
      <c r="A16" t="n">
        <v>15</v>
      </c>
      <c r="B16" s="4">
        <f>D15</f>
        <v/>
      </c>
      <c r="C16" s="4">
        <f>$'P&amp;L'.G16</f>
        <v/>
      </c>
      <c r="D16" s="4">
        <f>B16-C16</f>
        <v/>
      </c>
    </row>
    <row r="17">
      <c r="A17" t="n">
        <v>16</v>
      </c>
      <c r="B17" s="4">
        <f>D16</f>
        <v/>
      </c>
      <c r="C17" s="4">
        <f>$'P&amp;L'.G17</f>
        <v/>
      </c>
      <c r="D17" s="4">
        <f>B17-C17</f>
        <v/>
      </c>
    </row>
    <row r="18">
      <c r="A18" t="n">
        <v>17</v>
      </c>
      <c r="B18" s="4">
        <f>D17</f>
        <v/>
      </c>
      <c r="C18" s="4">
        <f>$'P&amp;L'.G18</f>
        <v/>
      </c>
      <c r="D18" s="4">
        <f>B18-C18</f>
        <v/>
      </c>
    </row>
    <row r="19">
      <c r="A19" t="n">
        <v>18</v>
      </c>
      <c r="B19" s="4">
        <f>D18</f>
        <v/>
      </c>
      <c r="C19" s="4">
        <f>$'P&amp;L'.G19</f>
        <v/>
      </c>
      <c r="D19" s="4">
        <f>B19-C19</f>
        <v/>
      </c>
    </row>
    <row r="20">
      <c r="A20" t="n">
        <v>19</v>
      </c>
      <c r="B20" s="4">
        <f>D19</f>
        <v/>
      </c>
      <c r="C20" s="4">
        <f>$'P&amp;L'.G20</f>
        <v/>
      </c>
      <c r="D20" s="4">
        <f>B20-C20</f>
        <v/>
      </c>
    </row>
    <row r="21">
      <c r="A21" t="n">
        <v>20</v>
      </c>
      <c r="B21" s="4">
        <f>D20</f>
        <v/>
      </c>
      <c r="C21" s="4">
        <f>$'P&amp;L'.G21</f>
        <v/>
      </c>
      <c r="D21" s="4">
        <f>B21-C21</f>
        <v/>
      </c>
    </row>
    <row r="22">
      <c r="A22" t="n">
        <v>21</v>
      </c>
      <c r="B22" s="4">
        <f>D21</f>
        <v/>
      </c>
      <c r="C22" s="4">
        <f>$'P&amp;L'.G22</f>
        <v/>
      </c>
      <c r="D22" s="4">
        <f>B22-C22</f>
        <v/>
      </c>
    </row>
    <row r="23">
      <c r="A23" t="n">
        <v>22</v>
      </c>
      <c r="B23" s="4">
        <f>D22</f>
        <v/>
      </c>
      <c r="C23" s="4">
        <f>$'P&amp;L'.G23</f>
        <v/>
      </c>
      <c r="D23" s="4">
        <f>B23-C23</f>
        <v/>
      </c>
    </row>
    <row r="24">
      <c r="A24" t="n">
        <v>23</v>
      </c>
      <c r="B24" s="4">
        <f>D23</f>
        <v/>
      </c>
      <c r="C24" s="4">
        <f>$'P&amp;L'.G24</f>
        <v/>
      </c>
      <c r="D24" s="4">
        <f>B24-C24</f>
        <v/>
      </c>
    </row>
    <row r="25">
      <c r="A25" t="n">
        <v>24</v>
      </c>
      <c r="B25" s="4">
        <f>D24</f>
        <v/>
      </c>
      <c r="C25" s="4">
        <f>$'P&amp;L'.G25</f>
        <v/>
      </c>
      <c r="D25" s="4">
        <f>B25-C25</f>
        <v/>
      </c>
    </row>
    <row r="26">
      <c r="A26" t="n">
        <v>25</v>
      </c>
      <c r="B26" s="4">
        <f>D25</f>
        <v/>
      </c>
      <c r="C26" s="4">
        <f>$'P&amp;L'.G26</f>
        <v/>
      </c>
      <c r="D26" s="4">
        <f>B26-C26</f>
        <v/>
      </c>
    </row>
    <row r="27">
      <c r="A27" t="n">
        <v>26</v>
      </c>
      <c r="B27" s="4">
        <f>D26</f>
        <v/>
      </c>
      <c r="C27" s="4">
        <f>$'P&amp;L'.G27</f>
        <v/>
      </c>
      <c r="D27" s="4">
        <f>B27-C27</f>
        <v/>
      </c>
    </row>
    <row r="28">
      <c r="A28" t="n">
        <v>27</v>
      </c>
      <c r="B28" s="4">
        <f>D27</f>
        <v/>
      </c>
      <c r="C28" s="4">
        <f>$'P&amp;L'.G28</f>
        <v/>
      </c>
      <c r="D28" s="4">
        <f>B28-C28</f>
        <v/>
      </c>
    </row>
    <row r="29">
      <c r="A29" t="n">
        <v>28</v>
      </c>
      <c r="B29" s="4">
        <f>D28</f>
        <v/>
      </c>
      <c r="C29" s="4">
        <f>$'P&amp;L'.G29</f>
        <v/>
      </c>
      <c r="D29" s="4">
        <f>B29-C29</f>
        <v/>
      </c>
    </row>
    <row r="30">
      <c r="A30" t="n">
        <v>29</v>
      </c>
      <c r="B30" s="4">
        <f>D29</f>
        <v/>
      </c>
      <c r="C30" s="4">
        <f>$'P&amp;L'.G30</f>
        <v/>
      </c>
      <c r="D30" s="4">
        <f>B30-C30</f>
        <v/>
      </c>
    </row>
    <row r="31">
      <c r="A31" t="n">
        <v>30</v>
      </c>
      <c r="B31" s="4">
        <f>D30</f>
        <v/>
      </c>
      <c r="C31" s="4">
        <f>$'P&amp;L'.G31</f>
        <v/>
      </c>
      <c r="D31" s="4">
        <f>B31-C31</f>
        <v/>
      </c>
    </row>
    <row r="32">
      <c r="A32" t="n">
        <v>31</v>
      </c>
      <c r="B32" s="4">
        <f>D31</f>
        <v/>
      </c>
      <c r="C32" s="4">
        <f>$'P&amp;L'.G32</f>
        <v/>
      </c>
      <c r="D32" s="4">
        <f>B32-C32</f>
        <v/>
      </c>
    </row>
    <row r="33">
      <c r="A33" t="n">
        <v>32</v>
      </c>
      <c r="B33" s="4">
        <f>D32</f>
        <v/>
      </c>
      <c r="C33" s="4">
        <f>$'P&amp;L'.G33</f>
        <v/>
      </c>
      <c r="D33" s="4">
        <f>B33-C33</f>
        <v/>
      </c>
    </row>
    <row r="34">
      <c r="A34" t="n">
        <v>33</v>
      </c>
      <c r="B34" s="4">
        <f>D33</f>
        <v/>
      </c>
      <c r="C34" s="4">
        <f>$'P&amp;L'.G34</f>
        <v/>
      </c>
      <c r="D34" s="4">
        <f>B34-C34</f>
        <v/>
      </c>
    </row>
    <row r="35">
      <c r="A35" t="n">
        <v>34</v>
      </c>
      <c r="B35" s="4">
        <f>D34</f>
        <v/>
      </c>
      <c r="C35" s="4">
        <f>$'P&amp;L'.G35</f>
        <v/>
      </c>
      <c r="D35" s="4">
        <f>B35-C35</f>
        <v/>
      </c>
    </row>
    <row r="36">
      <c r="A36" t="n">
        <v>35</v>
      </c>
      <c r="B36" s="4">
        <f>D35</f>
        <v/>
      </c>
      <c r="C36" s="4">
        <f>$'P&amp;L'.G36</f>
        <v/>
      </c>
      <c r="D36" s="4">
        <f>B36-C36</f>
        <v/>
      </c>
    </row>
    <row r="37">
      <c r="A37" t="n">
        <v>36</v>
      </c>
      <c r="B37" s="4">
        <f>D36</f>
        <v/>
      </c>
      <c r="C37" s="4">
        <f>$'P&amp;L'.G37</f>
        <v/>
      </c>
      <c r="D37" s="4">
        <f>B37-C37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  <c r="D1" s="3" t="inlineStr">
        <is>
          <t>Provenance</t>
        </is>
      </c>
    </row>
    <row r="2">
      <c r="A2" t="inlineStr">
        <is>
          <t>DAU</t>
        </is>
      </c>
      <c r="B2" t="inlineStr"/>
      <c r="C2" t="inlineStr">
        <is>
          <t>Daily active users</t>
        </is>
      </c>
      <c r="D2" t="inlineStr">
        <is>
          <t>analytics</t>
        </is>
      </c>
    </row>
    <row r="3">
      <c r="A3" t="inlineStr">
        <is>
          <t>MAU</t>
        </is>
      </c>
      <c r="B3" t="inlineStr"/>
      <c r="C3" t="inlineStr">
        <is>
          <t>Monthly active users</t>
        </is>
      </c>
      <c r="D3" t="inlineStr">
        <is>
          <t>analytics</t>
        </is>
      </c>
    </row>
    <row r="4">
      <c r="A4" t="inlineStr">
        <is>
          <t>D1 Retention</t>
        </is>
      </c>
      <c r="B4" t="inlineStr"/>
      <c r="C4" t="inlineStr"/>
      <c r="D4" t="inlineStr">
        <is>
          <t>cohorts</t>
        </is>
      </c>
    </row>
    <row r="5">
      <c r="A5" t="inlineStr">
        <is>
          <t>D7 Retention</t>
        </is>
      </c>
      <c r="B5" t="inlineStr"/>
      <c r="C5" t="inlineStr"/>
      <c r="D5" t="inlineStr">
        <is>
          <t>cohorts</t>
        </is>
      </c>
    </row>
    <row r="6">
      <c r="A6" t="inlineStr">
        <is>
          <t>D30 Retention</t>
        </is>
      </c>
      <c r="B6" t="inlineStr"/>
      <c r="C6" t="inlineStr"/>
      <c r="D6" t="inlineStr">
        <is>
          <t>cohorts</t>
        </is>
      </c>
    </row>
    <row r="7">
      <c r="A7" t="inlineStr">
        <is>
          <t>ARPU</t>
        </is>
      </c>
      <c r="B7">
        <f>$Assumptions.$B$4</f>
        <v/>
      </c>
      <c r="C7" t="inlineStr"/>
      <c r="D7" t="inlineStr">
        <is>
          <t>billing</t>
        </is>
      </c>
    </row>
    <row r="8">
      <c r="A8" t="inlineStr">
        <is>
          <t>Gross Margin</t>
        </is>
      </c>
      <c r="B8" t="inlineStr"/>
      <c r="C8" t="inlineStr">
        <is>
          <t>(1-COGS%)</t>
        </is>
      </c>
      <c r="D8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2026-02-17T19:08:28Z</dcterms:created>
  <dcterms:modified xmlns:dcterms="http://purl.org/dc/terms/" xmlns:xsi="http://www.w3.org/2001/XMLSchema-instance" xsi:type="dcterms:W3CDTF">2026-02-17T19:08:28Z</dcterms:modified>
</cp:coreProperties>
</file>